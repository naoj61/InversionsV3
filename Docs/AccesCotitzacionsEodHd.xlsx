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PC-HP11\naoj61\InversionsV3\Docs\"/>
    </mc:Choice>
  </mc:AlternateContent>
  <xr:revisionPtr revIDLastSave="0" documentId="13_ncr:1_{542899D6-0B67-4089-9FB9-3605101340DF}" xr6:coauthVersionLast="47" xr6:coauthVersionMax="47" xr10:uidLastSave="{00000000-0000-0000-0000-000000000000}"/>
  <bookViews>
    <workbookView xWindow="22932" yWindow="0" windowWidth="23256" windowHeight="12720" activeTab="2" xr2:uid="{86B7CC84-E031-4E3A-8474-F905DD073FFC}"/>
  </bookViews>
  <sheets>
    <sheet name="Sheet1" sheetId="1" r:id="rId1"/>
    <sheet name="Sheet2" sheetId="2" r:id="rId2"/>
    <sheet name="Updates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6" i="4"/>
  <c r="A45" i="4"/>
  <c r="A44" i="4"/>
  <c r="A43" i="4"/>
  <c r="A42" i="4"/>
  <c r="A31" i="4"/>
  <c r="A32" i="4"/>
  <c r="A28" i="4"/>
  <c r="A29" i="4"/>
  <c r="A30" i="4"/>
  <c r="A18" i="2"/>
  <c r="C18" i="2"/>
  <c r="E18" i="2"/>
  <c r="G18" i="2"/>
  <c r="I18" i="2"/>
  <c r="K18" i="2"/>
  <c r="A49" i="4"/>
  <c r="A50" i="4"/>
  <c r="A51" i="4"/>
  <c r="A52" i="4"/>
  <c r="A48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33" i="4"/>
  <c r="A34" i="4"/>
  <c r="A35" i="4"/>
  <c r="A36" i="4"/>
  <c r="A37" i="4"/>
  <c r="A38" i="4"/>
  <c r="A3" i="4"/>
  <c r="A17" i="2"/>
  <c r="C17" i="2"/>
  <c r="E17" i="2"/>
  <c r="G17" i="2"/>
  <c r="I17" i="2"/>
  <c r="K17" i="2"/>
  <c r="M17" i="2"/>
  <c r="O17" i="2"/>
  <c r="Q17" i="2"/>
  <c r="S17" i="2"/>
  <c r="A16" i="2"/>
  <c r="E16" i="2"/>
  <c r="C16" i="2"/>
  <c r="G16" i="2"/>
  <c r="I16" i="2"/>
  <c r="K16" i="2"/>
  <c r="M16" i="2"/>
  <c r="O16" i="2"/>
  <c r="Q16" i="2"/>
  <c r="S16" i="2"/>
  <c r="A15" i="2"/>
  <c r="E15" i="2"/>
  <c r="C15" i="2"/>
  <c r="G15" i="2"/>
  <c r="I15" i="2"/>
  <c r="K15" i="2"/>
  <c r="M15" i="2"/>
  <c r="O15" i="2"/>
  <c r="Q15" i="2"/>
  <c r="S15" i="2"/>
  <c r="S14" i="2"/>
  <c r="S13" i="2"/>
  <c r="S12" i="2"/>
  <c r="R12" i="2" s="1"/>
  <c r="Q14" i="2"/>
  <c r="Q13" i="2"/>
  <c r="Q12" i="2"/>
  <c r="P12" i="2" s="1"/>
  <c r="O14" i="2"/>
  <c r="O13" i="2"/>
  <c r="O12" i="2"/>
  <c r="N12" i="2" s="1"/>
  <c r="M14" i="2"/>
  <c r="M13" i="2"/>
  <c r="M12" i="2"/>
  <c r="L12" i="2" s="1"/>
  <c r="K14" i="2"/>
  <c r="K13" i="2"/>
  <c r="K12" i="2"/>
  <c r="J12" i="2" s="1"/>
  <c r="I14" i="2"/>
  <c r="I13" i="2"/>
  <c r="I12" i="2"/>
  <c r="H12" i="2" s="1"/>
  <c r="G14" i="2"/>
  <c r="G13" i="2"/>
  <c r="G12" i="2"/>
  <c r="F12" i="2" s="1"/>
  <c r="C14" i="2"/>
  <c r="C13" i="2"/>
  <c r="E14" i="2"/>
  <c r="E13" i="2"/>
  <c r="E12" i="2"/>
  <c r="D12" i="2" s="1"/>
  <c r="J13" i="2" l="1"/>
  <c r="J14" i="2" s="1"/>
  <c r="J15" i="2" s="1"/>
  <c r="J16" i="2" s="1"/>
  <c r="J17" i="2" s="1"/>
  <c r="J18" i="2" s="1"/>
  <c r="P13" i="2"/>
  <c r="P14" i="2" s="1"/>
  <c r="P15" i="2" s="1"/>
  <c r="P16" i="2" s="1"/>
  <c r="P17" i="2" s="1"/>
  <c r="N13" i="2"/>
  <c r="N14" i="2" s="1"/>
  <c r="N15" i="2" s="1"/>
  <c r="N16" i="2" s="1"/>
  <c r="N17" i="2" s="1"/>
  <c r="F13" i="2"/>
  <c r="F14" i="2" s="1"/>
  <c r="F15" i="2" s="1"/>
  <c r="F16" i="2" s="1"/>
  <c r="F17" i="2" s="1"/>
  <c r="F18" i="2" s="1"/>
  <c r="H13" i="2"/>
  <c r="H14" i="2" s="1"/>
  <c r="H15" i="2" s="1"/>
  <c r="H16" i="2" s="1"/>
  <c r="H17" i="2" s="1"/>
  <c r="H18" i="2" s="1"/>
  <c r="L13" i="2"/>
  <c r="L14" i="2" s="1"/>
  <c r="L15" i="2" s="1"/>
  <c r="L16" i="2" s="1"/>
  <c r="L17" i="2" s="1"/>
  <c r="R13" i="2"/>
  <c r="R14" i="2" s="1"/>
  <c r="R15" i="2" s="1"/>
  <c r="R16" i="2" s="1"/>
  <c r="R17" i="2" s="1"/>
  <c r="D13" i="2"/>
  <c r="D14" i="2" s="1"/>
  <c r="D15" i="2" s="1"/>
  <c r="D16" i="2" s="1"/>
  <c r="D17" i="2" s="1"/>
  <c r="D18" i="2" s="1"/>
  <c r="A13" i="2" l="1"/>
  <c r="A14" i="2"/>
  <c r="A12" i="2"/>
  <c r="C3" i="2"/>
  <c r="C12" i="2" s="1"/>
  <c r="B12" i="2" s="1"/>
  <c r="B13" i="2" s="1"/>
  <c r="B14" i="2" s="1"/>
  <c r="B15" i="2" s="1"/>
  <c r="B16" i="2" s="1"/>
  <c r="B17" i="2" s="1"/>
  <c r="B18" i="2" s="1"/>
  <c r="B16" i="1"/>
  <c r="E13" i="1"/>
  <c r="E4" i="1"/>
  <c r="E3" i="1"/>
</calcChain>
</file>

<file path=xl/sharedStrings.xml><?xml version="1.0" encoding="utf-8"?>
<sst xmlns="http://schemas.openxmlformats.org/spreadsheetml/2006/main" count="123" uniqueCount="91">
  <si>
    <t>US6701002056</t>
  </si>
  <si>
    <t>NOVA</t>
  </si>
  <si>
    <t>WKN</t>
  </si>
  <si>
    <t>Novo</t>
  </si>
  <si>
    <t>Clarus</t>
  </si>
  <si>
    <t>US18270P1093</t>
  </si>
  <si>
    <t>Ticker</t>
  </si>
  <si>
    <t>A2DWAE</t>
  </si>
  <si>
    <t>BDO</t>
  </si>
  <si>
    <t>MasterCard</t>
  </si>
  <si>
    <t>M4I</t>
  </si>
  <si>
    <t>A0F602</t>
  </si>
  <si>
    <t>US57636Q1040</t>
  </si>
  <si>
    <t>BerkShire Hathaway</t>
  </si>
  <si>
    <t>BRYN</t>
  </si>
  <si>
    <t>A0YJQ2</t>
  </si>
  <si>
    <t>US0846707026</t>
  </si>
  <si>
    <t>DK0062498333</t>
  </si>
  <si>
    <t>NOV</t>
  </si>
  <si>
    <t>A3EU6F</t>
  </si>
  <si>
    <t>S&amp;P 500</t>
  </si>
  <si>
    <t>IE00B3WJKG14</t>
  </si>
  <si>
    <t>QDVE</t>
  </si>
  <si>
    <t>A142N1</t>
  </si>
  <si>
    <t>Trade</t>
  </si>
  <si>
    <t>ISIN</t>
  </si>
  <si>
    <t>LU0034353002</t>
  </si>
  <si>
    <t>Eur/USD</t>
  </si>
  <si>
    <t>EUR/DKK</t>
  </si>
  <si>
    <t>LU1965927921</t>
  </si>
  <si>
    <t>LU0090865873</t>
  </si>
  <si>
    <t>LU1235294995</t>
  </si>
  <si>
    <t>Global Technology A-Acc-USD H</t>
  </si>
  <si>
    <t>DWS Invest ESG Fltng Rt Nots LC</t>
  </si>
  <si>
    <t>Euro Fund A-2 Acc</t>
  </si>
  <si>
    <t>DWS Floating Rate Notes LC</t>
  </si>
  <si>
    <t>866931</t>
  </si>
  <si>
    <t>EodHd</t>
  </si>
  <si>
    <t>Novo Mare</t>
  </si>
  <si>
    <t>Self</t>
  </si>
  <si>
    <t>Data Tancament</t>
  </si>
  <si>
    <t>Diferències entre EodHD i Real</t>
  </si>
  <si>
    <t>CLAR</t>
  </si>
  <si>
    <t>CLAR.US</t>
  </si>
  <si>
    <t>M4I.MU</t>
  </si>
  <si>
    <t>BRYN.XETRA</t>
  </si>
  <si>
    <t>NVO</t>
  </si>
  <si>
    <t>NVO.US</t>
  </si>
  <si>
    <t>NOVO-B</t>
  </si>
  <si>
    <t>NOVO-B.CO</t>
  </si>
  <si>
    <t>TickerExchange</t>
  </si>
  <si>
    <t>LU0122612764.EUFUND</t>
  </si>
  <si>
    <t>LU0231459107.EUFUND</t>
  </si>
  <si>
    <t>LU0048621477.EUFUND</t>
  </si>
  <si>
    <t>DE0008490962.EUFUND</t>
  </si>
  <si>
    <t>LU0108459040.EUFUND</t>
  </si>
  <si>
    <t>ES0147711032.EUFUND</t>
  </si>
  <si>
    <t>LU0294221253.EUFUND</t>
  </si>
  <si>
    <t>LU0055114457.EUFUND</t>
  </si>
  <si>
    <t>FR0010135103.EUFUND</t>
  </si>
  <si>
    <t>LU0300739322.EUFUND</t>
  </si>
  <si>
    <t>HJUI.F</t>
  </si>
  <si>
    <t>ES0125240038.EUFUND</t>
  </si>
  <si>
    <t>ES0178521037.EUFUND</t>
  </si>
  <si>
    <t>LU1213836080.EUFUND</t>
  </si>
  <si>
    <t>LU0090865873.EUFUND</t>
  </si>
  <si>
    <t>ES0155598032.EUFUND</t>
  </si>
  <si>
    <t>Id</t>
  </si>
  <si>
    <t>Productes</t>
  </si>
  <si>
    <t>LU0122377152.EUFUND</t>
  </si>
  <si>
    <t>LU0230918368.EUFUND</t>
  </si>
  <si>
    <t>LU0515769262.EUFUND</t>
  </si>
  <si>
    <t>LU0049014870.EUFUND</t>
  </si>
  <si>
    <t>FR0010149161.EUFUND</t>
  </si>
  <si>
    <t>LU0171306680.EUFUND</t>
  </si>
  <si>
    <t>LU0128499588.EUFUND</t>
  </si>
  <si>
    <t>LU0034353002.EUFUND</t>
  </si>
  <si>
    <t>LU1235294995.EUFUND</t>
  </si>
  <si>
    <t>LU1965927921.EUFUND</t>
  </si>
  <si>
    <t>Productes_ProdAccions</t>
  </si>
  <si>
    <t>MTS.AU</t>
  </si>
  <si>
    <t>SAN.MC</t>
  </si>
  <si>
    <t>TEF.MC</t>
  </si>
  <si>
    <t>SAB.VN</t>
  </si>
  <si>
    <t>ITX.MC</t>
  </si>
  <si>
    <t>MTS</t>
  </si>
  <si>
    <t>SAN</t>
  </si>
  <si>
    <t>TEF</t>
  </si>
  <si>
    <t>SAB</t>
  </si>
  <si>
    <t>ITX</t>
  </si>
  <si>
    <t>NDUEEGF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</si>
</sst>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#,##0.00\ &quot;€&quot;"/>
    <numFmt numFmtId="165" formatCode="#,##0.000\ &quot;€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center"/>
    </xf>
    <xf numFmtId="164" fontId="0" fillId="2" borderId="0" xfId="0" applyNumberFormat="1" applyFill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0" fillId="0" borderId="0" xfId="0" applyNumberFormat="1"/>
    <xf numFmtId="165" fontId="0" fillId="0" borderId="6" xfId="0" applyNumberFormat="1" applyBorder="1"/>
    <xf numFmtId="14" fontId="1" fillId="0" borderId="2" xfId="0" applyNumberFormat="1" applyFont="1" applyBorder="1"/>
    <xf numFmtId="14" fontId="1" fillId="0" borderId="5" xfId="0" applyNumberFormat="1" applyFont="1" applyBorder="1"/>
    <xf numFmtId="14" fontId="2" fillId="0" borderId="7" xfId="0" applyNumberFormat="1" applyFont="1" applyBorder="1"/>
    <xf numFmtId="165" fontId="0" fillId="0" borderId="10" xfId="0" applyNumberFormat="1" applyBorder="1"/>
    <xf numFmtId="165" fontId="0" fillId="0" borderId="11" xfId="0" applyNumberFormat="1" applyBorder="1"/>
    <xf numFmtId="165" fontId="1" fillId="0" borderId="3" xfId="0" applyNumberFormat="1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8" fontId="0" fillId="0" borderId="0" xfId="0" applyNumberFormat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7"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CEEBE-82DA-4C2B-9CD8-040FDC7E620D}">
  <dimension ref="A1:T16"/>
  <sheetViews>
    <sheetView zoomScaleNormal="100" workbookViewId="0">
      <selection activeCell="E8" sqref="E8:E11"/>
    </sheetView>
  </sheetViews>
  <sheetFormatPr defaultRowHeight="14.5" x14ac:dyDescent="0.35"/>
  <cols>
    <col min="1" max="1" width="27.7265625" bestFit="1" customWidth="1"/>
    <col min="2" max="2" width="13.453125" bestFit="1" customWidth="1"/>
  </cols>
  <sheetData>
    <row r="1" spans="1:20" x14ac:dyDescent="0.35">
      <c r="B1" s="3" t="s">
        <v>25</v>
      </c>
      <c r="C1" s="3" t="s">
        <v>6</v>
      </c>
      <c r="D1" s="3" t="s">
        <v>2</v>
      </c>
      <c r="E1" s="3" t="s">
        <v>37</v>
      </c>
      <c r="F1" s="3"/>
      <c r="G1" s="3" t="s">
        <v>24</v>
      </c>
      <c r="H1" s="3" t="s">
        <v>25</v>
      </c>
      <c r="I1" s="3" t="s">
        <v>6</v>
      </c>
    </row>
    <row r="2" spans="1:20" x14ac:dyDescent="0.35">
      <c r="A2" t="s">
        <v>3</v>
      </c>
      <c r="B2" t="s">
        <v>0</v>
      </c>
      <c r="C2" t="s">
        <v>1</v>
      </c>
      <c r="D2" s="2" t="s">
        <v>36</v>
      </c>
      <c r="E2" s="1">
        <v>32.352691818567102</v>
      </c>
      <c r="F2" s="1"/>
      <c r="G2" s="1">
        <v>32.200000000000003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5">
      <c r="A3" t="s">
        <v>38</v>
      </c>
      <c r="B3" t="s">
        <v>17</v>
      </c>
      <c r="C3" t="s">
        <v>18</v>
      </c>
      <c r="D3" t="s">
        <v>19</v>
      </c>
      <c r="E3" s="1">
        <f>238.4/7.4703</f>
        <v>31.913042314231024</v>
      </c>
      <c r="F3" s="1"/>
      <c r="G3" s="1">
        <v>32.159999999999997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5">
      <c r="A4" t="s">
        <v>4</v>
      </c>
      <c r="B4" t="s">
        <v>5</v>
      </c>
      <c r="C4" t="s">
        <v>7</v>
      </c>
      <c r="D4" t="s">
        <v>8</v>
      </c>
      <c r="E4" s="1">
        <f>3.2/B13</f>
        <v>2.7130139889783806</v>
      </c>
      <c r="F4" s="1"/>
      <c r="G4" s="1">
        <v>2.7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5">
      <c r="A5" t="s">
        <v>9</v>
      </c>
      <c r="B5" t="s">
        <v>12</v>
      </c>
      <c r="C5" t="s">
        <v>10</v>
      </c>
      <c r="D5" t="s">
        <v>11</v>
      </c>
      <c r="E5" s="4">
        <v>432.41935483870901</v>
      </c>
      <c r="F5" s="4">
        <v>423.49700000000001</v>
      </c>
      <c r="G5" s="1">
        <v>427.9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5">
      <c r="A6" t="s">
        <v>13</v>
      </c>
      <c r="B6" t="s">
        <v>16</v>
      </c>
      <c r="C6" t="s">
        <v>14</v>
      </c>
      <c r="D6" t="s">
        <v>15</v>
      </c>
      <c r="E6" s="1">
        <v>419.346349745331</v>
      </c>
      <c r="F6" s="1">
        <v>423.3</v>
      </c>
      <c r="G6" s="1">
        <v>417.75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5">
      <c r="A7" t="s">
        <v>20</v>
      </c>
      <c r="B7" t="s">
        <v>21</v>
      </c>
      <c r="C7" t="s">
        <v>22</v>
      </c>
      <c r="D7" t="s">
        <v>23</v>
      </c>
      <c r="E7" s="1"/>
      <c r="F7" s="1">
        <v>34.195</v>
      </c>
      <c r="G7" s="1">
        <v>34.69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5">
      <c r="A8" t="s">
        <v>33</v>
      </c>
      <c r="B8" t="s">
        <v>29</v>
      </c>
      <c r="E8" s="1">
        <v>110.77</v>
      </c>
      <c r="F8" s="1"/>
      <c r="G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5">
      <c r="A9" t="s">
        <v>34</v>
      </c>
      <c r="B9" t="s">
        <v>30</v>
      </c>
      <c r="E9" s="1">
        <v>475.46769999999998</v>
      </c>
      <c r="F9" s="1"/>
      <c r="G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5">
      <c r="A10" t="s">
        <v>32</v>
      </c>
      <c r="B10" t="s">
        <v>31</v>
      </c>
      <c r="E10" s="1">
        <v>56.159389571852401</v>
      </c>
      <c r="F10" s="1"/>
      <c r="G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5">
      <c r="A11" t="s">
        <v>35</v>
      </c>
      <c r="B11" t="s">
        <v>26</v>
      </c>
      <c r="E11" s="1">
        <v>93.21</v>
      </c>
      <c r="F11" s="1"/>
    </row>
    <row r="12" spans="1:20" x14ac:dyDescent="0.35">
      <c r="G12" s="1"/>
    </row>
    <row r="13" spans="1:20" x14ac:dyDescent="0.35">
      <c r="A13" t="s">
        <v>27</v>
      </c>
      <c r="B13">
        <v>1.1795</v>
      </c>
      <c r="E13" s="1">
        <f>B13*359.047901653242</f>
        <v>423.49699999999893</v>
      </c>
      <c r="F13" s="1"/>
      <c r="G13" s="1"/>
    </row>
    <row r="14" spans="1:20" x14ac:dyDescent="0.35">
      <c r="A14" t="s">
        <v>28</v>
      </c>
      <c r="B14">
        <v>7.4702999999999999</v>
      </c>
    </row>
    <row r="16" spans="1:20" x14ac:dyDescent="0.35">
      <c r="B16">
        <f>B13*2532.25806451612</f>
        <v>2986.7983870967637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0A40C-7CB8-46A0-99EA-6106618D84CF}">
  <dimension ref="A1:S18"/>
  <sheetViews>
    <sheetView zoomScale="115" zoomScaleNormal="115" workbookViewId="0">
      <pane xSplit="1" ySplit="2" topLeftCell="C6" activePane="bottomRight" state="frozen"/>
      <selection pane="topRight" activeCell="B1" sqref="B1"/>
      <selection pane="bottomLeft" activeCell="A3" sqref="A3"/>
      <selection pane="bottomRight" activeCell="O9" sqref="O9"/>
    </sheetView>
  </sheetViews>
  <sheetFormatPr defaultRowHeight="14.5" x14ac:dyDescent="0.35"/>
  <cols>
    <col min="1" max="1" width="10.1796875" bestFit="1" customWidth="1"/>
    <col min="2" max="3" width="9.26953125" customWidth="1"/>
    <col min="4" max="4" width="9.26953125" style="7" customWidth="1"/>
    <col min="5" max="11" width="9.26953125" customWidth="1"/>
    <col min="12" max="19" width="11.81640625" customWidth="1"/>
  </cols>
  <sheetData>
    <row r="1" spans="1:19" x14ac:dyDescent="0.35">
      <c r="A1" s="23" t="s">
        <v>40</v>
      </c>
      <c r="B1" s="21" t="s">
        <v>38</v>
      </c>
      <c r="C1" s="22"/>
      <c r="D1" s="21" t="s">
        <v>3</v>
      </c>
      <c r="E1" s="22"/>
      <c r="F1" s="21" t="s">
        <v>4</v>
      </c>
      <c r="G1" s="22"/>
      <c r="H1" s="21" t="s">
        <v>9</v>
      </c>
      <c r="I1" s="22"/>
      <c r="J1" s="21" t="s">
        <v>13</v>
      </c>
      <c r="K1" s="22"/>
      <c r="L1" s="19" t="s">
        <v>33</v>
      </c>
      <c r="M1" s="20"/>
      <c r="N1" s="21" t="s">
        <v>34</v>
      </c>
      <c r="O1" s="22"/>
      <c r="P1" s="19" t="s">
        <v>32</v>
      </c>
      <c r="Q1" s="20"/>
      <c r="R1" s="19" t="s">
        <v>35</v>
      </c>
      <c r="S1" s="20"/>
    </row>
    <row r="2" spans="1:19" ht="15" thickBot="1" x14ac:dyDescent="0.4">
      <c r="A2" s="24"/>
      <c r="B2" s="5" t="s">
        <v>24</v>
      </c>
      <c r="C2" s="6" t="s">
        <v>37</v>
      </c>
      <c r="D2" s="14" t="s">
        <v>24</v>
      </c>
      <c r="E2" s="6" t="s">
        <v>37</v>
      </c>
      <c r="F2" s="5" t="s">
        <v>24</v>
      </c>
      <c r="G2" s="6" t="s">
        <v>37</v>
      </c>
      <c r="H2" s="5" t="s">
        <v>24</v>
      </c>
      <c r="I2" s="6" t="s">
        <v>37</v>
      </c>
      <c r="J2" s="5" t="s">
        <v>24</v>
      </c>
      <c r="K2" s="6" t="s">
        <v>37</v>
      </c>
      <c r="L2" s="5" t="s">
        <v>39</v>
      </c>
      <c r="M2" s="6" t="s">
        <v>37</v>
      </c>
      <c r="N2" s="5" t="s">
        <v>39</v>
      </c>
      <c r="O2" s="6" t="s">
        <v>37</v>
      </c>
      <c r="P2" s="5" t="s">
        <v>39</v>
      </c>
      <c r="Q2" s="6" t="s">
        <v>37</v>
      </c>
      <c r="R2" s="5" t="s">
        <v>39</v>
      </c>
      <c r="S2" s="6" t="s">
        <v>37</v>
      </c>
    </row>
    <row r="3" spans="1:19" x14ac:dyDescent="0.35">
      <c r="A3" s="9">
        <v>46078</v>
      </c>
      <c r="B3" s="7">
        <v>32.159999999999997</v>
      </c>
      <c r="C3" s="7">
        <f>238.4/7.4703</f>
        <v>31.913042314231024</v>
      </c>
      <c r="D3" s="7">
        <v>32.200000000000003</v>
      </c>
      <c r="E3" s="7">
        <v>32.352691818567102</v>
      </c>
      <c r="F3" s="7">
        <v>2.7</v>
      </c>
      <c r="G3" s="7">
        <v>2.71</v>
      </c>
      <c r="H3" s="7">
        <v>427.9</v>
      </c>
      <c r="I3" s="7">
        <v>423.49700000000001</v>
      </c>
      <c r="J3" s="7">
        <v>423.75</v>
      </c>
      <c r="K3" s="7">
        <v>423.3</v>
      </c>
      <c r="L3" s="7">
        <v>110.77</v>
      </c>
      <c r="M3" s="7">
        <v>110.77</v>
      </c>
      <c r="N3" s="7">
        <v>475.46769999999998</v>
      </c>
      <c r="O3" s="7">
        <v>475.46769999999998</v>
      </c>
      <c r="P3" s="7">
        <v>56.211799999999997</v>
      </c>
      <c r="Q3" s="7">
        <v>56.159389571852401</v>
      </c>
      <c r="R3" s="7">
        <v>93.21</v>
      </c>
      <c r="S3" s="7">
        <v>93.21</v>
      </c>
    </row>
    <row r="4" spans="1:19" x14ac:dyDescent="0.35">
      <c r="A4" s="10">
        <v>46079</v>
      </c>
      <c r="B4" s="7">
        <v>31.87</v>
      </c>
      <c r="C4" s="7">
        <v>31.9359674483349</v>
      </c>
      <c r="D4" s="7">
        <v>31.8</v>
      </c>
      <c r="E4" s="7">
        <v>31.8678526048284</v>
      </c>
      <c r="F4" s="7">
        <v>2.7</v>
      </c>
      <c r="G4" s="7">
        <v>2.7064803049555199</v>
      </c>
      <c r="H4" s="7">
        <v>433.75</v>
      </c>
      <c r="I4" s="7">
        <v>432.06200000000001</v>
      </c>
      <c r="J4" s="7">
        <v>423.94</v>
      </c>
      <c r="K4" s="7">
        <v>423.3</v>
      </c>
      <c r="L4" s="7">
        <v>110.77</v>
      </c>
      <c r="M4" s="7">
        <v>110.77</v>
      </c>
      <c r="N4" s="7">
        <v>475.49650000000003</v>
      </c>
      <c r="O4" s="7">
        <v>475.49650000000003</v>
      </c>
      <c r="P4" s="7">
        <v>56.018300000000004</v>
      </c>
      <c r="Q4" s="7">
        <v>56.0609911054637</v>
      </c>
      <c r="R4" s="7">
        <v>93.23</v>
      </c>
      <c r="S4" s="7">
        <v>93.23</v>
      </c>
    </row>
    <row r="5" spans="1:19" x14ac:dyDescent="0.35">
      <c r="A5" s="10">
        <v>46080</v>
      </c>
      <c r="B5" s="7">
        <v>31.57</v>
      </c>
      <c r="C5" s="7">
        <v>31.84</v>
      </c>
      <c r="D5" s="7">
        <v>31.6</v>
      </c>
      <c r="E5" s="7">
        <v>31.69</v>
      </c>
      <c r="F5" s="7">
        <v>2.66</v>
      </c>
      <c r="G5" s="7">
        <v>2.67</v>
      </c>
      <c r="H5" s="7">
        <v>435.15</v>
      </c>
      <c r="I5" s="7">
        <v>436.85</v>
      </c>
      <c r="J5" s="7">
        <v>426.75</v>
      </c>
      <c r="K5" s="7">
        <v>426.45</v>
      </c>
      <c r="L5" s="7">
        <v>110.78</v>
      </c>
      <c r="M5" s="7">
        <v>110.78</v>
      </c>
      <c r="N5" s="7">
        <v>475.55650000000003</v>
      </c>
      <c r="O5" s="7">
        <v>475.56</v>
      </c>
      <c r="P5" s="7">
        <v>56.154200000000003</v>
      </c>
      <c r="Q5" s="7">
        <v>56.1</v>
      </c>
      <c r="R5" s="7">
        <v>93.23</v>
      </c>
      <c r="S5" s="7">
        <v>93.23</v>
      </c>
    </row>
    <row r="6" spans="1:19" x14ac:dyDescent="0.35">
      <c r="A6" s="10">
        <v>46082</v>
      </c>
      <c r="B6" s="7">
        <v>31.4</v>
      </c>
      <c r="C6" s="7">
        <v>30.99</v>
      </c>
      <c r="D6" s="7">
        <v>31.45</v>
      </c>
      <c r="E6" s="7">
        <v>31.61</v>
      </c>
      <c r="F6" s="7">
        <v>2.66</v>
      </c>
      <c r="G6" s="7">
        <v>2.68</v>
      </c>
      <c r="H6" s="7">
        <v>451</v>
      </c>
      <c r="I6" s="7">
        <v>450.14</v>
      </c>
      <c r="J6" s="7">
        <v>413.85</v>
      </c>
      <c r="K6" s="7">
        <v>413.7</v>
      </c>
      <c r="L6" s="7">
        <v>110.77</v>
      </c>
      <c r="M6" s="7">
        <v>110.77</v>
      </c>
      <c r="N6" s="7"/>
      <c r="O6" s="7"/>
      <c r="P6" s="7"/>
      <c r="Q6" s="7"/>
      <c r="R6" s="7"/>
      <c r="S6" s="7"/>
    </row>
    <row r="7" spans="1:19" x14ac:dyDescent="0.35">
      <c r="A7" s="10">
        <v>46085</v>
      </c>
      <c r="B7" s="7">
        <v>32.94</v>
      </c>
      <c r="C7" s="7">
        <v>32.86</v>
      </c>
      <c r="D7" s="7">
        <v>33.049999999999997</v>
      </c>
      <c r="E7" s="7">
        <v>33.200000000000003</v>
      </c>
      <c r="F7" s="7">
        <v>2.7</v>
      </c>
      <c r="G7" s="7">
        <v>2.73</v>
      </c>
      <c r="H7" s="7">
        <v>448.85</v>
      </c>
      <c r="I7" s="7">
        <v>448.68</v>
      </c>
      <c r="J7" s="7">
        <v>418.75</v>
      </c>
      <c r="K7" s="7">
        <v>418.85</v>
      </c>
      <c r="L7" s="7">
        <v>110.78</v>
      </c>
      <c r="M7" s="7">
        <v>110.77</v>
      </c>
      <c r="N7" s="7">
        <v>475.60910000000001</v>
      </c>
      <c r="O7" s="7">
        <v>475.60910000000001</v>
      </c>
      <c r="P7" s="7">
        <v>56.58</v>
      </c>
      <c r="Q7" s="7">
        <v>56.828763579927497</v>
      </c>
      <c r="R7" s="7"/>
      <c r="S7" s="7"/>
    </row>
    <row r="8" spans="1:19" x14ac:dyDescent="0.35">
      <c r="A8" s="10">
        <v>46086</v>
      </c>
      <c r="B8" s="7">
        <v>33.33</v>
      </c>
      <c r="C8" s="7">
        <v>33.289000000000001</v>
      </c>
      <c r="D8" s="7">
        <v>33.549999999999997</v>
      </c>
      <c r="E8" s="7">
        <v>33.613999999999997</v>
      </c>
      <c r="F8" s="7">
        <v>2.5</v>
      </c>
      <c r="G8" s="7">
        <v>2.6669999999999998</v>
      </c>
      <c r="H8" s="7">
        <v>449.65</v>
      </c>
      <c r="I8" s="7">
        <v>450.62400000000002</v>
      </c>
      <c r="J8" s="7">
        <v>430.55</v>
      </c>
      <c r="K8" s="7">
        <v>429.05</v>
      </c>
      <c r="L8" s="7">
        <v>110.78</v>
      </c>
      <c r="M8" s="7">
        <v>110.78</v>
      </c>
      <c r="N8" s="7">
        <v>475.62650000000002</v>
      </c>
      <c r="O8" s="7">
        <v>475.62700000000001</v>
      </c>
      <c r="P8" s="7">
        <v>56.756799999999998</v>
      </c>
      <c r="Q8" s="7">
        <v>56.707000000000001</v>
      </c>
      <c r="R8" s="7">
        <v>93.24</v>
      </c>
      <c r="S8" s="7">
        <v>93.21</v>
      </c>
    </row>
    <row r="9" spans="1:19" x14ac:dyDescent="0.35">
      <c r="A9" s="10">
        <v>46087</v>
      </c>
      <c r="B9" s="7">
        <v>33.15</v>
      </c>
      <c r="C9" s="18">
        <v>33.183</v>
      </c>
      <c r="D9" s="18">
        <v>33.15</v>
      </c>
      <c r="E9" s="18">
        <v>33.195999999999998</v>
      </c>
      <c r="F9" s="18">
        <v>2.56</v>
      </c>
      <c r="G9" s="18">
        <v>2.573</v>
      </c>
      <c r="H9" s="18">
        <v>447.15</v>
      </c>
      <c r="I9" s="18">
        <v>450.36799999999999</v>
      </c>
      <c r="J9" s="18">
        <v>429.05</v>
      </c>
      <c r="K9" s="18">
        <v>424.95</v>
      </c>
      <c r="M9" s="18">
        <v>110.79</v>
      </c>
      <c r="O9" s="18">
        <v>475.66300000000001</v>
      </c>
      <c r="Q9" s="18">
        <v>56.41</v>
      </c>
      <c r="S9">
        <v>93.24</v>
      </c>
    </row>
    <row r="10" spans="1:19" ht="15" thickBot="1" x14ac:dyDescent="0.4">
      <c r="A10" s="10"/>
      <c r="B10" s="7"/>
      <c r="C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24" thickBot="1" x14ac:dyDescent="0.6">
      <c r="A11" s="11" t="s">
        <v>41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3"/>
    </row>
    <row r="12" spans="1:19" x14ac:dyDescent="0.35">
      <c r="A12" s="9">
        <f t="shared" ref="A12:A18" si="0">A3</f>
        <v>46078</v>
      </c>
      <c r="B12" s="8">
        <f>C12</f>
        <v>0.24695768576897237</v>
      </c>
      <c r="C12" s="8">
        <f t="shared" ref="C12:C17" si="1">B3-C3</f>
        <v>0.24695768576897237</v>
      </c>
      <c r="D12" s="8">
        <f>E12</f>
        <v>-0.15269181856709935</v>
      </c>
      <c r="E12" s="8">
        <f t="shared" ref="E12:E17" si="2">D3-E3</f>
        <v>-0.15269181856709935</v>
      </c>
      <c r="F12" s="8">
        <f>G12</f>
        <v>-9.9999999999997868E-3</v>
      </c>
      <c r="G12" s="8">
        <f t="shared" ref="G12:G17" si="3">F3-G3</f>
        <v>-9.9999999999997868E-3</v>
      </c>
      <c r="H12" s="8">
        <f>I12</f>
        <v>4.4029999999999632</v>
      </c>
      <c r="I12" s="8">
        <f t="shared" ref="I12:I17" si="4">H3-I3</f>
        <v>4.4029999999999632</v>
      </c>
      <c r="J12" s="8">
        <f>K12</f>
        <v>0.44999999999998863</v>
      </c>
      <c r="K12" s="8">
        <f t="shared" ref="K12:K17" si="5">J3-K3</f>
        <v>0.44999999999998863</v>
      </c>
      <c r="L12" s="8">
        <f>M12</f>
        <v>0</v>
      </c>
      <c r="M12" s="8">
        <f t="shared" ref="M12:M17" si="6">L3-M3</f>
        <v>0</v>
      </c>
      <c r="N12" s="8">
        <f>O12</f>
        <v>0</v>
      </c>
      <c r="O12" s="8">
        <f t="shared" ref="O12:O17" si="7">N3-O3</f>
        <v>0</v>
      </c>
      <c r="P12" s="8">
        <f>Q12</f>
        <v>5.2410428147595667E-2</v>
      </c>
      <c r="Q12" s="8">
        <f t="shared" ref="Q12:Q17" si="8">P3-Q3</f>
        <v>5.2410428147595667E-2</v>
      </c>
      <c r="R12" s="8">
        <f>S12</f>
        <v>0</v>
      </c>
      <c r="S12" s="8">
        <f t="shared" ref="S12:S17" si="9">R3-S3</f>
        <v>0</v>
      </c>
    </row>
    <row r="13" spans="1:19" x14ac:dyDescent="0.35">
      <c r="A13" s="10">
        <f t="shared" si="0"/>
        <v>46079</v>
      </c>
      <c r="B13" s="7">
        <f t="shared" ref="B13:B18" si="10">B12+C13</f>
        <v>0.18099023743407372</v>
      </c>
      <c r="C13" s="7">
        <f t="shared" si="1"/>
        <v>-6.5967448334898648E-2</v>
      </c>
      <c r="D13" s="7">
        <f t="shared" ref="D13:D18" si="11">D12+E13</f>
        <v>-0.22054442339549851</v>
      </c>
      <c r="E13" s="7">
        <f t="shared" si="2"/>
        <v>-6.7852604828399166E-2</v>
      </c>
      <c r="F13" s="7">
        <f t="shared" ref="F13:F18" si="12">F12+G13</f>
        <v>-1.6480304955519554E-2</v>
      </c>
      <c r="G13" s="7">
        <f t="shared" si="3"/>
        <v>-6.4803049555197667E-3</v>
      </c>
      <c r="H13" s="7">
        <f t="shared" ref="H13:H18" si="13">H12+I13</f>
        <v>6.0909999999999513</v>
      </c>
      <c r="I13" s="7">
        <f t="shared" si="4"/>
        <v>1.6879999999999882</v>
      </c>
      <c r="J13" s="7">
        <f t="shared" ref="J13:J18" si="14">J12+K13</f>
        <v>1.089999999999975</v>
      </c>
      <c r="K13" s="7">
        <f t="shared" si="5"/>
        <v>0.63999999999998636</v>
      </c>
      <c r="L13" s="7">
        <f>L12+M13</f>
        <v>0</v>
      </c>
      <c r="M13" s="7">
        <f t="shared" si="6"/>
        <v>0</v>
      </c>
      <c r="N13" s="7">
        <f>N12+O13</f>
        <v>0</v>
      </c>
      <c r="O13" s="7">
        <f t="shared" si="7"/>
        <v>0</v>
      </c>
      <c r="P13" s="7">
        <f>P12+Q13</f>
        <v>9.7193226838996338E-3</v>
      </c>
      <c r="Q13" s="7">
        <f t="shared" si="8"/>
        <v>-4.2691105463696033E-2</v>
      </c>
      <c r="R13" s="7">
        <f>R12+S13</f>
        <v>0</v>
      </c>
      <c r="S13" s="7">
        <f t="shared" si="9"/>
        <v>0</v>
      </c>
    </row>
    <row r="14" spans="1:19" x14ac:dyDescent="0.35">
      <c r="A14" s="10">
        <f t="shared" si="0"/>
        <v>46080</v>
      </c>
      <c r="B14" s="7">
        <f t="shared" si="10"/>
        <v>-8.9009762565925854E-2</v>
      </c>
      <c r="C14" s="7">
        <f t="shared" si="1"/>
        <v>-0.26999999999999957</v>
      </c>
      <c r="D14" s="7">
        <f t="shared" si="11"/>
        <v>-0.31054442339549837</v>
      </c>
      <c r="E14" s="7">
        <f t="shared" si="2"/>
        <v>-8.9999999999999858E-2</v>
      </c>
      <c r="F14" s="7">
        <f t="shared" si="12"/>
        <v>-2.648030495551934E-2</v>
      </c>
      <c r="G14" s="7">
        <f t="shared" si="3"/>
        <v>-9.9999999999997868E-3</v>
      </c>
      <c r="H14" s="7">
        <f t="shared" si="13"/>
        <v>4.3909999999999059</v>
      </c>
      <c r="I14" s="7">
        <f t="shared" si="4"/>
        <v>-1.7000000000000455</v>
      </c>
      <c r="J14" s="7">
        <f t="shared" si="14"/>
        <v>1.3899999999999864</v>
      </c>
      <c r="K14" s="7">
        <f t="shared" si="5"/>
        <v>0.30000000000001137</v>
      </c>
      <c r="L14" s="7">
        <f>L13+M14</f>
        <v>0</v>
      </c>
      <c r="M14" s="7">
        <f t="shared" si="6"/>
        <v>0</v>
      </c>
      <c r="N14" s="7">
        <f>N13+O14</f>
        <v>-3.4999999999740794E-3</v>
      </c>
      <c r="O14" s="7">
        <f t="shared" si="7"/>
        <v>-3.4999999999740794E-3</v>
      </c>
      <c r="P14" s="7">
        <f>P13+Q14</f>
        <v>6.3919322683901214E-2</v>
      </c>
      <c r="Q14" s="7">
        <f t="shared" si="8"/>
        <v>5.420000000000158E-2</v>
      </c>
      <c r="R14" s="7">
        <f>R13+S14</f>
        <v>0</v>
      </c>
      <c r="S14" s="7">
        <f t="shared" si="9"/>
        <v>0</v>
      </c>
    </row>
    <row r="15" spans="1:19" x14ac:dyDescent="0.35">
      <c r="A15" s="10">
        <f t="shared" si="0"/>
        <v>46082</v>
      </c>
      <c r="B15" s="7">
        <f t="shared" si="10"/>
        <v>0.32099023743407429</v>
      </c>
      <c r="C15" s="7">
        <f t="shared" si="1"/>
        <v>0.41000000000000014</v>
      </c>
      <c r="D15" s="7">
        <f t="shared" si="11"/>
        <v>-0.47054442339549851</v>
      </c>
      <c r="E15" s="7">
        <f t="shared" si="2"/>
        <v>-0.16000000000000014</v>
      </c>
      <c r="F15" s="7">
        <f t="shared" si="12"/>
        <v>-4.6480304955519358E-2</v>
      </c>
      <c r="G15" s="7">
        <f t="shared" si="3"/>
        <v>-2.0000000000000018E-2</v>
      </c>
      <c r="H15" s="7">
        <f t="shared" si="13"/>
        <v>5.2509999999999195</v>
      </c>
      <c r="I15" s="7">
        <f t="shared" si="4"/>
        <v>0.86000000000001364</v>
      </c>
      <c r="J15" s="7">
        <f t="shared" si="14"/>
        <v>1.5400000000000205</v>
      </c>
      <c r="K15" s="7">
        <f t="shared" si="5"/>
        <v>0.15000000000003411</v>
      </c>
      <c r="L15" s="7">
        <f>L14+M15</f>
        <v>0</v>
      </c>
      <c r="M15" s="7">
        <f t="shared" si="6"/>
        <v>0</v>
      </c>
      <c r="N15" s="7">
        <f>N14+O15</f>
        <v>-3.4999999999740794E-3</v>
      </c>
      <c r="O15" s="7">
        <f t="shared" si="7"/>
        <v>0</v>
      </c>
      <c r="P15" s="7">
        <f>P14+Q15</f>
        <v>6.3919322683901214E-2</v>
      </c>
      <c r="Q15" s="7">
        <f t="shared" si="8"/>
        <v>0</v>
      </c>
      <c r="R15" s="7">
        <f>R14+S15</f>
        <v>0</v>
      </c>
      <c r="S15" s="7">
        <f t="shared" si="9"/>
        <v>0</v>
      </c>
    </row>
    <row r="16" spans="1:19" x14ac:dyDescent="0.35">
      <c r="A16" s="10">
        <f t="shared" si="0"/>
        <v>46085</v>
      </c>
      <c r="B16" s="7">
        <f t="shared" si="10"/>
        <v>0.40099023743407258</v>
      </c>
      <c r="C16" s="7">
        <f t="shared" si="1"/>
        <v>7.9999999999998295E-2</v>
      </c>
      <c r="D16" s="7">
        <f t="shared" si="11"/>
        <v>-0.6205444233955042</v>
      </c>
      <c r="E16" s="7">
        <f t="shared" si="2"/>
        <v>-0.15000000000000568</v>
      </c>
      <c r="F16" s="7">
        <f t="shared" si="12"/>
        <v>-7.6480304955519163E-2</v>
      </c>
      <c r="G16" s="7">
        <f t="shared" si="3"/>
        <v>-2.9999999999999805E-2</v>
      </c>
      <c r="H16" s="7">
        <f t="shared" si="13"/>
        <v>5.4209999999999354</v>
      </c>
      <c r="I16" s="7">
        <f t="shared" si="4"/>
        <v>0.17000000000001592</v>
      </c>
      <c r="J16" s="7">
        <f t="shared" si="14"/>
        <v>1.4399999999999977</v>
      </c>
      <c r="K16" s="7">
        <f t="shared" si="5"/>
        <v>-0.10000000000002274</v>
      </c>
      <c r="L16" s="7">
        <f>L15+M16</f>
        <v>1.0000000000005116E-2</v>
      </c>
      <c r="M16" s="7">
        <f t="shared" si="6"/>
        <v>1.0000000000005116E-2</v>
      </c>
      <c r="N16" s="7">
        <f>N15+O16</f>
        <v>-3.4999999999740794E-3</v>
      </c>
      <c r="O16" s="7">
        <f t="shared" si="7"/>
        <v>0</v>
      </c>
      <c r="P16" s="7">
        <f>P15+Q16</f>
        <v>-0.1848442572435971</v>
      </c>
      <c r="Q16" s="7">
        <f t="shared" si="8"/>
        <v>-0.24876357992749831</v>
      </c>
      <c r="R16" s="7">
        <f>R15+S16</f>
        <v>0</v>
      </c>
      <c r="S16" s="7">
        <f t="shared" si="9"/>
        <v>0</v>
      </c>
    </row>
    <row r="17" spans="1:19" x14ac:dyDescent="0.35">
      <c r="A17" s="10">
        <f t="shared" si="0"/>
        <v>46086</v>
      </c>
      <c r="B17" s="7">
        <f t="shared" si="10"/>
        <v>0.4419902374340694</v>
      </c>
      <c r="C17" s="7">
        <f t="shared" si="1"/>
        <v>4.0999999999996817E-2</v>
      </c>
      <c r="D17" s="7">
        <f t="shared" si="11"/>
        <v>-0.68454442339550425</v>
      </c>
      <c r="E17" s="7">
        <f t="shared" si="2"/>
        <v>-6.4000000000000057E-2</v>
      </c>
      <c r="F17" s="7">
        <f t="shared" si="12"/>
        <v>-0.24348030495551898</v>
      </c>
      <c r="G17" s="7">
        <f t="shared" si="3"/>
        <v>-0.16699999999999982</v>
      </c>
      <c r="H17" s="7">
        <f t="shared" si="13"/>
        <v>4.446999999999889</v>
      </c>
      <c r="I17" s="7">
        <f t="shared" si="4"/>
        <v>-0.97400000000004638</v>
      </c>
      <c r="J17" s="7">
        <f t="shared" si="14"/>
        <v>2.9399999999999977</v>
      </c>
      <c r="K17" s="7">
        <f t="shared" si="5"/>
        <v>1.5</v>
      </c>
      <c r="L17" s="7">
        <f>L16+M17</f>
        <v>1.0000000000005116E-2</v>
      </c>
      <c r="M17" s="7">
        <f t="shared" si="6"/>
        <v>0</v>
      </c>
      <c r="N17" s="7">
        <f>N16+O17</f>
        <v>-3.999999999962256E-3</v>
      </c>
      <c r="O17" s="7">
        <f t="shared" si="7"/>
        <v>-4.9999999998817657E-4</v>
      </c>
      <c r="P17" s="7">
        <f>P16+Q17</f>
        <v>-0.13504425724359947</v>
      </c>
      <c r="Q17" s="7">
        <f t="shared" si="8"/>
        <v>4.9799999999997624E-2</v>
      </c>
      <c r="R17" s="7">
        <f>R16+S17</f>
        <v>3.0000000000001137E-2</v>
      </c>
      <c r="S17" s="7">
        <f t="shared" si="9"/>
        <v>3.0000000000001137E-2</v>
      </c>
    </row>
    <row r="18" spans="1:19" x14ac:dyDescent="0.35">
      <c r="A18" s="10">
        <f t="shared" si="0"/>
        <v>46087</v>
      </c>
      <c r="B18" s="7">
        <f t="shared" si="10"/>
        <v>0.40899023743406815</v>
      </c>
      <c r="C18" s="7">
        <f t="shared" ref="C18" si="15">B9-C9</f>
        <v>-3.3000000000001251E-2</v>
      </c>
      <c r="D18" s="7">
        <f t="shared" si="11"/>
        <v>-0.73054442339550363</v>
      </c>
      <c r="E18" s="7">
        <f t="shared" ref="E18" si="16">D9-E9</f>
        <v>-4.5999999999999375E-2</v>
      </c>
      <c r="F18" s="7">
        <f t="shared" si="12"/>
        <v>-0.25648030495551888</v>
      </c>
      <c r="G18" s="7">
        <f t="shared" ref="G18" si="17">F9-G9</f>
        <v>-1.2999999999999901E-2</v>
      </c>
      <c r="H18" s="7">
        <f t="shared" si="13"/>
        <v>1.2289999999998713</v>
      </c>
      <c r="I18" s="7">
        <f t="shared" ref="I18" si="18">H9-I9</f>
        <v>-3.2180000000000177</v>
      </c>
      <c r="J18" s="7">
        <f t="shared" si="14"/>
        <v>7.0400000000000205</v>
      </c>
      <c r="K18" s="7">
        <f t="shared" ref="K18" si="19">J9-K9</f>
        <v>4.1000000000000227</v>
      </c>
      <c r="L18" s="7"/>
      <c r="M18" s="7"/>
      <c r="N18" s="7"/>
      <c r="O18" s="7"/>
    </row>
  </sheetData>
  <mergeCells count="10">
    <mergeCell ref="L1:M1"/>
    <mergeCell ref="N1:O1"/>
    <mergeCell ref="P1:Q1"/>
    <mergeCell ref="R1:S1"/>
    <mergeCell ref="A1:A2"/>
    <mergeCell ref="D1:E1"/>
    <mergeCell ref="B1:C1"/>
    <mergeCell ref="F1:G1"/>
    <mergeCell ref="H1:I1"/>
    <mergeCell ref="J1:K1"/>
  </mergeCells>
  <conditionalFormatting sqref="C12:C18">
    <cfRule type="expression" dxfId="26" priority="25">
      <formula>AND(C12&gt;-1, C12&lt; 1, C12 &lt;&gt; 0)</formula>
    </cfRule>
    <cfRule type="expression" dxfId="25" priority="26">
      <formula>C12&lt;=-1</formula>
    </cfRule>
    <cfRule type="expression" dxfId="24" priority="27">
      <formula>C12&gt;=1</formula>
    </cfRule>
  </conditionalFormatting>
  <conditionalFormatting sqref="E12:E18">
    <cfRule type="expression" dxfId="23" priority="28">
      <formula>AND(E12&gt;-1, E12&lt; 1, E12 &lt;&gt; 0)</formula>
    </cfRule>
    <cfRule type="expression" dxfId="22" priority="29">
      <formula>E12&lt;=-1</formula>
    </cfRule>
    <cfRule type="expression" dxfId="21" priority="30">
      <formula>E12&gt;=1</formula>
    </cfRule>
  </conditionalFormatting>
  <conditionalFormatting sqref="G12:G18">
    <cfRule type="expression" dxfId="20" priority="22">
      <formula>AND(G12&gt;-1, G12&lt; 1, G12 &lt;&gt; 0)</formula>
    </cfRule>
    <cfRule type="expression" dxfId="19" priority="23">
      <formula>G12&lt;=-1</formula>
    </cfRule>
    <cfRule type="expression" dxfId="18" priority="24">
      <formula>G12&gt;=1</formula>
    </cfRule>
  </conditionalFormatting>
  <conditionalFormatting sqref="I12:I18">
    <cfRule type="expression" dxfId="17" priority="19">
      <formula>AND(I12&gt;-1, I12&lt; 1, I12 &lt;&gt; 0)</formula>
    </cfRule>
    <cfRule type="expression" dxfId="16" priority="20">
      <formula>I12&lt;=-1</formula>
    </cfRule>
    <cfRule type="expression" dxfId="15" priority="21">
      <formula>I12&gt;=1</formula>
    </cfRule>
  </conditionalFormatting>
  <conditionalFormatting sqref="K12:K18">
    <cfRule type="expression" dxfId="14" priority="16">
      <formula>AND(K12&gt;-1, K12&lt; 1, K12 &lt;&gt; 0)</formula>
    </cfRule>
    <cfRule type="expression" dxfId="13" priority="17">
      <formula>K12&lt;=-1</formula>
    </cfRule>
    <cfRule type="expression" dxfId="12" priority="18">
      <formula>K12&gt;=1</formula>
    </cfRule>
  </conditionalFormatting>
  <conditionalFormatting sqref="M12:M18">
    <cfRule type="expression" dxfId="11" priority="10">
      <formula>AND(M12&gt;-1, M12&lt; 1, M12 &lt;&gt; 0)</formula>
    </cfRule>
    <cfRule type="expression" dxfId="10" priority="11">
      <formula>M12&lt;=-1</formula>
    </cfRule>
    <cfRule type="expression" dxfId="9" priority="12">
      <formula>M12&gt;=1</formula>
    </cfRule>
  </conditionalFormatting>
  <conditionalFormatting sqref="O12:O18">
    <cfRule type="expression" dxfId="8" priority="7">
      <formula>AND(O12&gt;-1, O12&lt; 1, O12 &lt;&gt; 0)</formula>
    </cfRule>
    <cfRule type="expression" dxfId="7" priority="8">
      <formula>O12&lt;=-1</formula>
    </cfRule>
    <cfRule type="expression" dxfId="6" priority="9">
      <formula>O12&gt;=1</formula>
    </cfRule>
  </conditionalFormatting>
  <conditionalFormatting sqref="Q12:Q17">
    <cfRule type="expression" dxfId="5" priority="4">
      <formula>AND(Q12&gt;-1, Q12&lt; 1, Q12 &lt;&gt; 0)</formula>
    </cfRule>
    <cfRule type="expression" dxfId="4" priority="5">
      <formula>Q12&lt;=-1</formula>
    </cfRule>
    <cfRule type="expression" dxfId="3" priority="6">
      <formula>Q12&gt;=1</formula>
    </cfRule>
  </conditionalFormatting>
  <conditionalFormatting sqref="S12:S17">
    <cfRule type="expression" dxfId="2" priority="1">
      <formula>AND(S12&gt;-1, S12&lt; 1, S12 &lt;&gt; 0)</formula>
    </cfRule>
    <cfRule type="expression" dxfId="1" priority="2">
      <formula>S12&lt;=-1</formula>
    </cfRule>
    <cfRule type="expression" dxfId="0" priority="3">
      <formula>S12&gt;=1</formula>
    </cfRule>
  </conditionalFormatting>
  <pageMargins left="0.7" right="0.7" top="0.75" bottom="0.75" header="0.3" footer="0.3"/>
  <pageSetup paperSize="9" orientation="portrait" r:id="rId1"/>
  <ignoredErrors>
    <ignoredError sqref="F12:K14 L12:R14 E12:E16 G15:Q16 F15:F16 R15:T1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F4E0-DDC0-44AE-A48F-B33A7D849191}">
  <dimension ref="A1:F52"/>
  <sheetViews>
    <sheetView tabSelected="1" topLeftCell="A39" zoomScale="130" zoomScaleNormal="130" workbookViewId="0">
      <selection activeCell="A48" sqref="A48:XFD48"/>
    </sheetView>
  </sheetViews>
  <sheetFormatPr defaultRowHeight="14.5" x14ac:dyDescent="0.35"/>
  <cols>
    <col min="1" max="1" width="73.54296875" customWidth="1"/>
    <col min="2" max="2" width="4.81640625" bestFit="1" customWidth="1"/>
    <col min="3" max="3" width="20.81640625" bestFit="1" customWidth="1"/>
    <col min="4" max="4" width="3.453125" customWidth="1"/>
    <col min="5" max="5" width="9.54296875" customWidth="1"/>
    <col min="6" max="6" width="13.453125" customWidth="1"/>
  </cols>
  <sheetData>
    <row r="1" spans="1:6" x14ac:dyDescent="0.35">
      <c r="B1" s="25" t="s">
        <v>68</v>
      </c>
      <c r="C1" s="25"/>
    </row>
    <row r="2" spans="1:6" x14ac:dyDescent="0.35">
      <c r="B2" s="3" t="s">
        <v>67</v>
      </c>
      <c r="C2" s="17" t="s">
        <v>50</v>
      </c>
    </row>
    <row r="3" spans="1:6" x14ac:dyDescent="0.35">
      <c r="A3" t="str">
        <f>"UPDATE Productes SET TickerExchange = '"&amp;C3&amp;"' WHERE Id = "&amp;B3&amp;";"</f>
        <v>UPDATE Productes SET TickerExchange = 'LU0122612764.EUFUND' WHERE Id = 2;</v>
      </c>
      <c r="B3" s="16">
        <v>2</v>
      </c>
      <c r="C3" s="16" t="s">
        <v>51</v>
      </c>
    </row>
    <row r="4" spans="1:6" x14ac:dyDescent="0.35">
      <c r="A4" t="str">
        <f t="shared" ref="A4:A38" si="0">"UPDATE Productes SET TickerExchange = '"&amp;C4&amp;"' WHERE Id = "&amp;B4&amp;";"</f>
        <v>UPDATE Productes SET TickerExchange = 'LU0231459107.EUFUND' WHERE Id = 3;</v>
      </c>
      <c r="B4" s="16">
        <v>3</v>
      </c>
      <c r="C4" s="16" t="s">
        <v>52</v>
      </c>
    </row>
    <row r="5" spans="1:6" x14ac:dyDescent="0.35">
      <c r="A5" t="str">
        <f t="shared" si="0"/>
        <v>UPDATE Productes SET TickerExchange = 'LU0048621477.EUFUND' WHERE Id = 4;</v>
      </c>
      <c r="B5" s="16">
        <v>4</v>
      </c>
      <c r="C5" s="16" t="s">
        <v>53</v>
      </c>
    </row>
    <row r="6" spans="1:6" x14ac:dyDescent="0.35">
      <c r="A6" t="str">
        <f t="shared" si="0"/>
        <v>UPDATE Productes SET TickerExchange = 'DE0008490962.EUFUND' WHERE Id = 5;</v>
      </c>
      <c r="B6" s="16">
        <v>5</v>
      </c>
      <c r="C6" s="16" t="s">
        <v>54</v>
      </c>
    </row>
    <row r="7" spans="1:6" x14ac:dyDescent="0.35">
      <c r="A7" t="str">
        <f t="shared" si="0"/>
        <v>UPDATE Productes SET TickerExchange = 'LU0108459040.EUFUND' WHERE Id = 6;</v>
      </c>
      <c r="B7" s="16">
        <v>6</v>
      </c>
      <c r="C7" s="16" t="s">
        <v>55</v>
      </c>
    </row>
    <row r="8" spans="1:6" x14ac:dyDescent="0.35">
      <c r="A8" t="str">
        <f t="shared" si="0"/>
        <v>UPDATE Productes SET TickerExchange = 'ES0147711032.EUFUND' WHERE Id = 10;</v>
      </c>
      <c r="B8" s="16">
        <v>10</v>
      </c>
      <c r="C8" s="16" t="s">
        <v>56</v>
      </c>
      <c r="E8" s="15"/>
      <c r="F8" s="15"/>
    </row>
    <row r="9" spans="1:6" x14ac:dyDescent="0.35">
      <c r="A9" t="str">
        <f t="shared" si="0"/>
        <v>UPDATE Productes SET TickerExchange = 'LU0294221253.EUFUND' WHERE Id = 11;</v>
      </c>
      <c r="B9" s="16">
        <v>11</v>
      </c>
      <c r="C9" s="16" t="s">
        <v>57</v>
      </c>
    </row>
    <row r="10" spans="1:6" x14ac:dyDescent="0.35">
      <c r="A10" t="str">
        <f t="shared" si="0"/>
        <v>UPDATE Productes SET TickerExchange = 'LU0055114457.EUFUND' WHERE Id = 13;</v>
      </c>
      <c r="B10" s="16">
        <v>13</v>
      </c>
      <c r="C10" s="16" t="s">
        <v>58</v>
      </c>
    </row>
    <row r="11" spans="1:6" x14ac:dyDescent="0.35">
      <c r="A11" t="str">
        <f t="shared" si="0"/>
        <v>UPDATE Productes SET TickerExchange = 'FR0010135103.EUFUND' WHERE Id = 14;</v>
      </c>
      <c r="B11" s="16">
        <v>14</v>
      </c>
      <c r="C11" s="16" t="s">
        <v>59</v>
      </c>
    </row>
    <row r="12" spans="1:6" x14ac:dyDescent="0.35">
      <c r="A12" t="str">
        <f t="shared" si="0"/>
        <v>UPDATE Productes SET TickerExchange = 'LU0300739322.EUFUND' WHERE Id = 15;</v>
      </c>
      <c r="B12" s="16">
        <v>15</v>
      </c>
      <c r="C12" s="16" t="s">
        <v>60</v>
      </c>
    </row>
    <row r="13" spans="1:6" x14ac:dyDescent="0.35">
      <c r="A13" t="str">
        <f t="shared" si="0"/>
        <v>UPDATE Productes SET TickerExchange = 'HJUI.F' WHERE Id = 16;</v>
      </c>
      <c r="B13" s="16">
        <v>16</v>
      </c>
      <c r="C13" s="16" t="s">
        <v>61</v>
      </c>
    </row>
    <row r="14" spans="1:6" x14ac:dyDescent="0.35">
      <c r="A14" t="str">
        <f t="shared" si="0"/>
        <v>UPDATE Productes SET TickerExchange = 'ES0125240038.EUFUND' WHERE Id = 19;</v>
      </c>
      <c r="B14" s="16">
        <v>19</v>
      </c>
      <c r="C14" s="16" t="s">
        <v>62</v>
      </c>
    </row>
    <row r="15" spans="1:6" x14ac:dyDescent="0.35">
      <c r="A15" t="str">
        <f t="shared" si="0"/>
        <v>UPDATE Productes SET TickerExchange = 'ES0178521037.EUFUND' WHERE Id = 26;</v>
      </c>
      <c r="B15" s="16">
        <v>26</v>
      </c>
      <c r="C15" s="16" t="s">
        <v>63</v>
      </c>
    </row>
    <row r="16" spans="1:6" x14ac:dyDescent="0.35">
      <c r="A16" t="str">
        <f t="shared" si="0"/>
        <v>UPDATE Productes SET TickerExchange = 'LU1213836080.EUFUND' WHERE Id = 27;</v>
      </c>
      <c r="B16" s="16">
        <v>27</v>
      </c>
      <c r="C16" s="16" t="s">
        <v>64</v>
      </c>
    </row>
    <row r="17" spans="1:3" x14ac:dyDescent="0.35">
      <c r="A17" t="str">
        <f t="shared" si="0"/>
        <v>UPDATE Productes SET TickerExchange = 'LU0090865873.EUFUND' WHERE Id = 28;</v>
      </c>
      <c r="B17" s="16">
        <v>28</v>
      </c>
      <c r="C17" s="16" t="s">
        <v>65</v>
      </c>
    </row>
    <row r="18" spans="1:3" x14ac:dyDescent="0.35">
      <c r="A18" t="str">
        <f t="shared" si="0"/>
        <v>UPDATE Productes SET TickerExchange = 'ES0155598032.EUFUND' WHERE Id = 29;</v>
      </c>
      <c r="B18" s="16">
        <v>29</v>
      </c>
      <c r="C18" s="16" t="s">
        <v>66</v>
      </c>
    </row>
    <row r="19" spans="1:3" x14ac:dyDescent="0.35">
      <c r="A19" t="str">
        <f t="shared" si="0"/>
        <v>UPDATE Productes SET TickerExchange = 'LU0122377152.EUFUND' WHERE Id = 30;</v>
      </c>
      <c r="B19" s="16">
        <v>30</v>
      </c>
      <c r="C19" s="16" t="s">
        <v>69</v>
      </c>
    </row>
    <row r="20" spans="1:3" x14ac:dyDescent="0.35">
      <c r="A20" t="str">
        <f t="shared" si="0"/>
        <v>UPDATE Productes SET TickerExchange = 'LU0230918368.EUFUND' WHERE Id = 1036;</v>
      </c>
      <c r="B20" s="16">
        <v>1036</v>
      </c>
      <c r="C20" s="16" t="s">
        <v>70</v>
      </c>
    </row>
    <row r="21" spans="1:3" x14ac:dyDescent="0.35">
      <c r="A21" t="str">
        <f t="shared" si="0"/>
        <v>UPDATE Productes SET TickerExchange = 'LU0515769262.EUFUND' WHERE Id = 1037;</v>
      </c>
      <c r="B21" s="16">
        <v>1037</v>
      </c>
      <c r="C21" s="16" t="s">
        <v>71</v>
      </c>
    </row>
    <row r="22" spans="1:3" x14ac:dyDescent="0.35">
      <c r="A22" t="str">
        <f t="shared" si="0"/>
        <v>UPDATE Productes SET TickerExchange = 'LU0049014870.EUFUND' WHERE Id = 1038;</v>
      </c>
      <c r="B22" s="16">
        <v>1038</v>
      </c>
      <c r="C22" s="16" t="s">
        <v>72</v>
      </c>
    </row>
    <row r="23" spans="1:3" x14ac:dyDescent="0.35">
      <c r="A23" t="str">
        <f t="shared" si="0"/>
        <v>UPDATE Productes SET TickerExchange = 'FR0010149161.EUFUND' WHERE Id = 1039;</v>
      </c>
      <c r="B23" s="16">
        <v>1039</v>
      </c>
      <c r="C23" s="16" t="s">
        <v>73</v>
      </c>
    </row>
    <row r="24" spans="1:3" x14ac:dyDescent="0.35">
      <c r="A24" t="str">
        <f t="shared" si="0"/>
        <v>UPDATE Productes SET TickerExchange = 'LU0171306680.EUFUND' WHERE Id = 1040;</v>
      </c>
      <c r="B24" s="16">
        <v>1040</v>
      </c>
      <c r="C24" s="16" t="s">
        <v>74</v>
      </c>
    </row>
    <row r="25" spans="1:3" x14ac:dyDescent="0.35">
      <c r="A25" t="str">
        <f t="shared" si="0"/>
        <v>UPDATE Productes SET TickerExchange = 'LU0128499588.EUFUND' WHERE Id = 1041;</v>
      </c>
      <c r="B25" s="16">
        <v>1041</v>
      </c>
      <c r="C25" s="16" t="s">
        <v>75</v>
      </c>
    </row>
    <row r="26" spans="1:3" x14ac:dyDescent="0.35">
      <c r="A26" t="str">
        <f t="shared" si="0"/>
        <v>UPDATE Productes SET TickerExchange = 'LU0034353002.EUFUND' WHERE Id = 1042;</v>
      </c>
      <c r="B26" s="16">
        <v>1042</v>
      </c>
      <c r="C26" s="16" t="s">
        <v>76</v>
      </c>
    </row>
    <row r="27" spans="1:3" x14ac:dyDescent="0.35">
      <c r="A27" t="str">
        <f t="shared" si="0"/>
        <v>UPDATE Productes SET TickerExchange = 'LU1235294995.EUFUND' WHERE Id = 1043;</v>
      </c>
      <c r="B27" s="16">
        <v>1043</v>
      </c>
      <c r="C27" s="16" t="s">
        <v>77</v>
      </c>
    </row>
    <row r="28" spans="1:3" x14ac:dyDescent="0.35">
      <c r="A28" t="str">
        <f t="shared" si="0"/>
        <v>UPDATE Productes SET TickerExchange = 'MTS.AU' WHERE Id = 7;</v>
      </c>
      <c r="B28" s="15">
        <v>7</v>
      </c>
      <c r="C28" s="15" t="s">
        <v>80</v>
      </c>
    </row>
    <row r="29" spans="1:3" x14ac:dyDescent="0.35">
      <c r="A29" t="str">
        <f t="shared" si="0"/>
        <v>UPDATE Productes SET TickerExchange = 'SAN.MC' WHERE Id = 8;</v>
      </c>
      <c r="B29" s="15">
        <v>8</v>
      </c>
      <c r="C29" s="15" t="s">
        <v>81</v>
      </c>
    </row>
    <row r="30" spans="1:3" x14ac:dyDescent="0.35">
      <c r="A30" t="str">
        <f t="shared" si="0"/>
        <v>UPDATE Productes SET TickerExchange = 'TEF.MC' WHERE Id = 9;</v>
      </c>
      <c r="B30" s="15">
        <v>9</v>
      </c>
      <c r="C30" s="15" t="s">
        <v>82</v>
      </c>
    </row>
    <row r="31" spans="1:3" x14ac:dyDescent="0.35">
      <c r="A31" t="str">
        <f t="shared" si="0"/>
        <v>UPDATE Productes SET TickerExchange = 'SAB.VN' WHERE Id = 22;</v>
      </c>
      <c r="B31" s="15">
        <v>22</v>
      </c>
      <c r="C31" s="15" t="s">
        <v>83</v>
      </c>
    </row>
    <row r="32" spans="1:3" x14ac:dyDescent="0.35">
      <c r="A32" t="str">
        <f t="shared" si="0"/>
        <v>UPDATE Productes SET TickerExchange = 'ITX.MC' WHERE Id = 23;</v>
      </c>
      <c r="B32" s="15">
        <v>23</v>
      </c>
      <c r="C32" s="15" t="s">
        <v>84</v>
      </c>
    </row>
    <row r="33" spans="1:3" x14ac:dyDescent="0.35">
      <c r="A33" t="str">
        <f t="shared" si="0"/>
        <v>UPDATE Productes SET TickerExchange = 'CLAR.US' WHERE Id = 1045;</v>
      </c>
      <c r="B33" s="16">
        <v>1045</v>
      </c>
      <c r="C33" s="16" t="s">
        <v>43</v>
      </c>
    </row>
    <row r="34" spans="1:3" x14ac:dyDescent="0.35">
      <c r="A34" t="str">
        <f t="shared" si="0"/>
        <v>UPDATE Productes SET TickerExchange = 'LU1965927921.EUFUND' WHERE Id = 1046;</v>
      </c>
      <c r="B34" s="16">
        <v>1046</v>
      </c>
      <c r="C34" s="16" t="s">
        <v>78</v>
      </c>
    </row>
    <row r="35" spans="1:3" x14ac:dyDescent="0.35">
      <c r="A35" t="str">
        <f t="shared" si="0"/>
        <v>UPDATE Productes SET TickerExchange = 'M4I.MU' WHERE Id = 1053;</v>
      </c>
      <c r="B35" s="16">
        <v>1053</v>
      </c>
      <c r="C35" s="16" t="s">
        <v>44</v>
      </c>
    </row>
    <row r="36" spans="1:3" x14ac:dyDescent="0.35">
      <c r="A36" t="str">
        <f t="shared" si="0"/>
        <v>UPDATE Productes SET TickerExchange = 'BRYN.XETRA' WHERE Id = 1054;</v>
      </c>
      <c r="B36" s="16">
        <v>1054</v>
      </c>
      <c r="C36" s="16" t="s">
        <v>45</v>
      </c>
    </row>
    <row r="37" spans="1:3" x14ac:dyDescent="0.35">
      <c r="A37" t="str">
        <f t="shared" si="0"/>
        <v>UPDATE Productes SET TickerExchange = 'NVO.US' WHERE Id = 1058;</v>
      </c>
      <c r="B37" s="16">
        <v>1058</v>
      </c>
      <c r="C37" s="16" t="s">
        <v>47</v>
      </c>
    </row>
    <row r="38" spans="1:3" x14ac:dyDescent="0.35">
      <c r="A38" t="str">
        <f t="shared" si="0"/>
        <v>UPDATE Productes SET TickerExchange = 'NOVO-B.CO' WHERE Id = 1059;</v>
      </c>
      <c r="B38" s="16">
        <v>1059</v>
      </c>
      <c r="C38" s="16" t="s">
        <v>49</v>
      </c>
    </row>
    <row r="39" spans="1:3" x14ac:dyDescent="0.35">
      <c r="B39" s="16"/>
      <c r="C39" s="16"/>
    </row>
    <row r="40" spans="1:3" x14ac:dyDescent="0.35">
      <c r="B40" s="25" t="s">
        <v>79</v>
      </c>
      <c r="C40" s="25"/>
    </row>
    <row r="41" spans="1:3" x14ac:dyDescent="0.35">
      <c r="B41" s="3" t="s">
        <v>67</v>
      </c>
      <c r="C41" s="17" t="s">
        <v>6</v>
      </c>
    </row>
    <row r="42" spans="1:3" x14ac:dyDescent="0.35">
      <c r="A42" t="str">
        <f t="shared" ref="A42:A47" si="1">"UPDATE Productes_ProdAccions SET Ticker = '"&amp;C42&amp;"' WHERE Id = "&amp;B42&amp;";"</f>
        <v>UPDATE Productes_ProdAccions SET Ticker = 'MTS' WHERE Id = 7;</v>
      </c>
      <c r="B42" s="15">
        <v>7</v>
      </c>
      <c r="C42" s="15" t="s">
        <v>85</v>
      </c>
    </row>
    <row r="43" spans="1:3" x14ac:dyDescent="0.35">
      <c r="A43" t="str">
        <f t="shared" si="1"/>
        <v>UPDATE Productes_ProdAccions SET Ticker = 'SAN' WHERE Id = 8;</v>
      </c>
      <c r="B43" s="15">
        <v>8</v>
      </c>
      <c r="C43" s="15" t="s">
        <v>86</v>
      </c>
    </row>
    <row r="44" spans="1:3" x14ac:dyDescent="0.35">
      <c r="A44" t="str">
        <f t="shared" si="1"/>
        <v>UPDATE Productes_ProdAccions SET Ticker = 'TEF' WHERE Id = 9;</v>
      </c>
      <c r="B44" s="15">
        <v>9</v>
      </c>
      <c r="C44" s="15" t="s">
        <v>87</v>
      </c>
    </row>
    <row r="45" spans="1:3" x14ac:dyDescent="0.35">
      <c r="A45" t="str">
        <f t="shared" si="1"/>
        <v>UPDATE Productes_ProdAccions SET Ticker = 'SAB' WHERE Id = 22;</v>
      </c>
      <c r="B45" s="15">
        <v>22</v>
      </c>
      <c r="C45" s="15" t="s">
        <v>88</v>
      </c>
    </row>
    <row r="46" spans="1:3" x14ac:dyDescent="0.35">
      <c r="A46" t="str">
        <f t="shared" si="1"/>
        <v>UPDATE Productes_ProdAccions SET Ticker = 'ITX' WHERE Id = 23;</v>
      </c>
      <c r="B46" s="15">
        <v>23</v>
      </c>
      <c r="C46" s="15" t="s">
        <v>89</v>
      </c>
    </row>
    <row r="47" spans="1:3" x14ac:dyDescent="0.35">
      <c r="A47" t="str">
        <f t="shared" si="1"/>
        <v>UPDATE Productes_ProdAccions SET Ticker = 'NDUEEGF' WHERE Id = 24;</v>
      </c>
      <c r="B47" s="15">
        <v>24</v>
      </c>
      <c r="C47" s="15" t="s">
        <v>90</v>
      </c>
    </row>
    <row r="48" spans="1:3" x14ac:dyDescent="0.35">
      <c r="A48" t="str">
        <f>"UPDATE Productes_ProdAccions SET Ticker = '"&amp;C48&amp;"' WHERE Id = "&amp;B48&amp;";"</f>
        <v>UPDATE Productes_ProdAccions SET Ticker = 'CLAR' WHERE Id = 1045;</v>
      </c>
      <c r="B48" s="15">
        <v>1045</v>
      </c>
      <c r="C48" s="15" t="s">
        <v>42</v>
      </c>
    </row>
    <row r="49" spans="1:3" x14ac:dyDescent="0.35">
      <c r="A49" t="str">
        <f t="shared" ref="A49:A52" si="2">"UPDATE Productes_ProdAccions SET Ticker = '"&amp;C49&amp;"' WHERE Id = "&amp;B49&amp;";"</f>
        <v>UPDATE Productes_ProdAccions SET Ticker = 'M4I' WHERE Id = 1053;</v>
      </c>
      <c r="B49" s="15">
        <v>1053</v>
      </c>
      <c r="C49" s="15" t="s">
        <v>10</v>
      </c>
    </row>
    <row r="50" spans="1:3" x14ac:dyDescent="0.35">
      <c r="A50" t="str">
        <f t="shared" si="2"/>
        <v>UPDATE Productes_ProdAccions SET Ticker = 'BRYN' WHERE Id = 1054;</v>
      </c>
      <c r="B50" s="15">
        <v>1054</v>
      </c>
      <c r="C50" s="15" t="s">
        <v>14</v>
      </c>
    </row>
    <row r="51" spans="1:3" x14ac:dyDescent="0.35">
      <c r="A51" t="str">
        <f t="shared" si="2"/>
        <v>UPDATE Productes_ProdAccions SET Ticker = 'NVO' WHERE Id = 1058;</v>
      </c>
      <c r="B51" s="15">
        <v>1058</v>
      </c>
      <c r="C51" s="15" t="s">
        <v>46</v>
      </c>
    </row>
    <row r="52" spans="1:3" x14ac:dyDescent="0.35">
      <c r="A52" t="str">
        <f t="shared" si="2"/>
        <v>UPDATE Productes_ProdAccions SET Ticker = 'NOVO-B' WHERE Id = 1059;</v>
      </c>
      <c r="B52" s="15">
        <v>1059</v>
      </c>
      <c r="C52" s="15" t="s">
        <v>48</v>
      </c>
    </row>
  </sheetData>
  <mergeCells count="2">
    <mergeCell ref="B1:C1"/>
    <mergeCell ref="B40:C4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Updates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 p</dc:creator>
  <cp:lastModifiedBy>Joan p</cp:lastModifiedBy>
  <dcterms:created xsi:type="dcterms:W3CDTF">2026-02-26T16:53:07Z</dcterms:created>
  <dcterms:modified xsi:type="dcterms:W3CDTF">2026-03-07T18:35:03Z</dcterms:modified>
</cp:coreProperties>
</file>