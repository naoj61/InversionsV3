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HP11\naoj61\InversionsV3\Docs\"/>
    </mc:Choice>
  </mc:AlternateContent>
  <xr:revisionPtr revIDLastSave="0" documentId="13_ncr:1_{91B9EAE5-F820-4D21-B7B6-8C032993837C}" xr6:coauthVersionLast="47" xr6:coauthVersionMax="47" xr10:uidLastSave="{00000000-0000-0000-0000-000000000000}"/>
  <bookViews>
    <workbookView xWindow="-110" yWindow="-110" windowWidth="19420" windowHeight="10560" activeTab="1" xr2:uid="{86B7CC84-E031-4E3A-8474-F905DD073F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B16" i="1"/>
  <c r="E13" i="1"/>
  <c r="E4" i="1"/>
  <c r="E3" i="1"/>
</calcChain>
</file>

<file path=xl/sharedStrings.xml><?xml version="1.0" encoding="utf-8"?>
<sst xmlns="http://schemas.openxmlformats.org/spreadsheetml/2006/main" count="72" uniqueCount="41">
  <si>
    <t>US6701002056</t>
  </si>
  <si>
    <t>NOVA</t>
  </si>
  <si>
    <t>WKN</t>
  </si>
  <si>
    <t>Novo</t>
  </si>
  <si>
    <t>Clarus</t>
  </si>
  <si>
    <t>US18270P1093</t>
  </si>
  <si>
    <t>Ticker</t>
  </si>
  <si>
    <t>A2DWAE</t>
  </si>
  <si>
    <t>BDO</t>
  </si>
  <si>
    <t>MasterCard</t>
  </si>
  <si>
    <t>M4I</t>
  </si>
  <si>
    <t>A0F602</t>
  </si>
  <si>
    <t>US57636Q1040</t>
  </si>
  <si>
    <t>BerkShire Hathaway</t>
  </si>
  <si>
    <t>BRYN</t>
  </si>
  <si>
    <t>A0YJQ2</t>
  </si>
  <si>
    <t>US0846707026</t>
  </si>
  <si>
    <t>DK0062498333</t>
  </si>
  <si>
    <t>NOV</t>
  </si>
  <si>
    <t>A3EU6F</t>
  </si>
  <si>
    <t>S&amp;P 500</t>
  </si>
  <si>
    <t>IE00B3WJKG14</t>
  </si>
  <si>
    <t>QDVE</t>
  </si>
  <si>
    <t>A142N1</t>
  </si>
  <si>
    <t>Trade</t>
  </si>
  <si>
    <t>ISIN</t>
  </si>
  <si>
    <t>LU0034353002</t>
  </si>
  <si>
    <t>Eur/USD</t>
  </si>
  <si>
    <t>EUR/DKK</t>
  </si>
  <si>
    <t>LU1965927921</t>
  </si>
  <si>
    <t>LU0090865873</t>
  </si>
  <si>
    <t>LU1235294995</t>
  </si>
  <si>
    <t>Global Technology A-Acc-USD H</t>
  </si>
  <si>
    <t>DWS Invest ESG Fltng Rt Nots LC</t>
  </si>
  <si>
    <t>Euro Fund A-2 Acc</t>
  </si>
  <si>
    <t>DWS Floating Rate Notes LC</t>
  </si>
  <si>
    <t>866931</t>
  </si>
  <si>
    <t>EodHd</t>
  </si>
  <si>
    <t>Novo Mare</t>
  </si>
  <si>
    <t>Self</t>
  </si>
  <si>
    <t>Data Tancament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</si>
</sst>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.0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0" borderId="0" xfId="0" quotePrefix="1"/>
    <xf numFmtId="0" fontId="1" fillId="0" borderId="0" xfId="0" applyFont="1" applyAlignment="1">
      <alignment horizontal="center"/>
    </xf>
    <xf numFmtId="164" fontId="0" fillId="2" borderId="0" xfId="0" applyNumberFormat="1" applyFill="1"/>
    <xf numFmtId="14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0" borderId="0" xfId="0" applyNumberForma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EEBE-82DA-4C2B-9CD8-040FDC7E620D}">
  <dimension ref="A1:T16"/>
  <sheetViews>
    <sheetView zoomScaleNormal="100" workbookViewId="0">
      <selection activeCell="E8" sqref="E8:E11"/>
    </sheetView>
  </sheetViews>
  <sheetFormatPr defaultRowHeight="14.5" x14ac:dyDescent="0.35"/>
  <cols>
    <col min="1" max="1" width="27.7265625" bestFit="1" customWidth="1"/>
    <col min="2" max="2" width="13.453125" bestFit="1" customWidth="1"/>
  </cols>
  <sheetData>
    <row r="1" spans="1:20" x14ac:dyDescent="0.35">
      <c r="B1" s="3" t="s">
        <v>25</v>
      </c>
      <c r="C1" s="3" t="s">
        <v>6</v>
      </c>
      <c r="D1" s="3" t="s">
        <v>2</v>
      </c>
      <c r="E1" s="3" t="s">
        <v>37</v>
      </c>
      <c r="F1" s="3"/>
      <c r="G1" s="3" t="s">
        <v>24</v>
      </c>
      <c r="H1" s="3" t="s">
        <v>25</v>
      </c>
      <c r="I1" s="3" t="s">
        <v>6</v>
      </c>
    </row>
    <row r="2" spans="1:20" x14ac:dyDescent="0.35">
      <c r="A2" t="s">
        <v>3</v>
      </c>
      <c r="B2" t="s">
        <v>0</v>
      </c>
      <c r="C2" t="s">
        <v>1</v>
      </c>
      <c r="D2" s="2" t="s">
        <v>36</v>
      </c>
      <c r="E2" s="1">
        <v>32.352691818567102</v>
      </c>
      <c r="F2" s="1"/>
      <c r="G2" s="1">
        <v>32.200000000000003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5">
      <c r="A3" t="s">
        <v>38</v>
      </c>
      <c r="B3" t="s">
        <v>17</v>
      </c>
      <c r="C3" t="s">
        <v>18</v>
      </c>
      <c r="D3" t="s">
        <v>19</v>
      </c>
      <c r="E3" s="1">
        <f>238.4/7.4703</f>
        <v>31.913042314231024</v>
      </c>
      <c r="F3" s="1"/>
      <c r="G3" s="1">
        <v>32.159999999999997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t="s">
        <v>4</v>
      </c>
      <c r="B4" t="s">
        <v>5</v>
      </c>
      <c r="C4" t="s">
        <v>7</v>
      </c>
      <c r="D4" t="s">
        <v>8</v>
      </c>
      <c r="E4" s="1">
        <f>3.2/B13</f>
        <v>2.7130139889783806</v>
      </c>
      <c r="F4" s="1"/>
      <c r="G4" s="1">
        <v>2.7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t="s">
        <v>9</v>
      </c>
      <c r="B5" t="s">
        <v>12</v>
      </c>
      <c r="C5" t="s">
        <v>10</v>
      </c>
      <c r="D5" t="s">
        <v>11</v>
      </c>
      <c r="E5" s="4">
        <v>432.41935483870901</v>
      </c>
      <c r="F5" s="4">
        <v>423.49700000000001</v>
      </c>
      <c r="G5" s="1">
        <v>427.9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t="s">
        <v>13</v>
      </c>
      <c r="B6" t="s">
        <v>16</v>
      </c>
      <c r="C6" t="s">
        <v>14</v>
      </c>
      <c r="D6" t="s">
        <v>15</v>
      </c>
      <c r="E6" s="1">
        <v>419.346349745331</v>
      </c>
      <c r="F6" s="1">
        <v>423.3</v>
      </c>
      <c r="G6" s="1">
        <v>417.75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t="s">
        <v>20</v>
      </c>
      <c r="B7" t="s">
        <v>21</v>
      </c>
      <c r="C7" t="s">
        <v>22</v>
      </c>
      <c r="D7" t="s">
        <v>23</v>
      </c>
      <c r="E7" s="1"/>
      <c r="F7" s="1">
        <v>34.195</v>
      </c>
      <c r="G7" s="1">
        <v>34.69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t="s">
        <v>33</v>
      </c>
      <c r="B8" t="s">
        <v>29</v>
      </c>
      <c r="E8" s="1">
        <v>110.77</v>
      </c>
      <c r="F8" s="1"/>
      <c r="G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t="s">
        <v>34</v>
      </c>
      <c r="B9" t="s">
        <v>30</v>
      </c>
      <c r="E9" s="1">
        <v>475.46769999999998</v>
      </c>
      <c r="F9" s="1"/>
      <c r="G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t="s">
        <v>32</v>
      </c>
      <c r="B10" t="s">
        <v>31</v>
      </c>
      <c r="E10" s="1">
        <v>56.159389571852401</v>
      </c>
      <c r="F10" s="1"/>
      <c r="G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t="s">
        <v>35</v>
      </c>
      <c r="B11" t="s">
        <v>26</v>
      </c>
      <c r="E11" s="1">
        <v>93.21</v>
      </c>
      <c r="F11" s="1"/>
    </row>
    <row r="12" spans="1:20" x14ac:dyDescent="0.35">
      <c r="G12" s="1"/>
    </row>
    <row r="13" spans="1:20" x14ac:dyDescent="0.35">
      <c r="A13" t="s">
        <v>27</v>
      </c>
      <c r="B13">
        <v>1.1795</v>
      </c>
      <c r="E13" s="1">
        <f>B13*359.047901653242</f>
        <v>423.49699999999893</v>
      </c>
      <c r="F13" s="1"/>
      <c r="G13" s="1"/>
    </row>
    <row r="14" spans="1:20" x14ac:dyDescent="0.35">
      <c r="A14" t="s">
        <v>28</v>
      </c>
      <c r="B14">
        <v>7.4702999999999999</v>
      </c>
    </row>
    <row r="16" spans="1:20" x14ac:dyDescent="0.35">
      <c r="B16">
        <f>B13*2532.25806451612</f>
        <v>2986.7983870967637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A40C-7CB8-46A0-99EA-6106618D84CF}">
  <dimension ref="A1:U9"/>
  <sheetViews>
    <sheetView tabSelected="1" zoomScale="130" zoomScaleNormal="130" workbookViewId="0">
      <pane xSplit="1" ySplit="2" topLeftCell="E3" activePane="bottomRight" state="frozen"/>
      <selection pane="topRight" activeCell="B1" sqref="B1"/>
      <selection pane="bottomLeft" activeCell="A3" sqref="A3"/>
      <selection pane="bottomRight" activeCell="E6" sqref="E6"/>
    </sheetView>
  </sheetViews>
  <sheetFormatPr defaultRowHeight="14.5" x14ac:dyDescent="0.35"/>
  <cols>
    <col min="1" max="1" width="10.1796875" bestFit="1" customWidth="1"/>
    <col min="2" max="21" width="11.81640625" customWidth="1"/>
  </cols>
  <sheetData>
    <row r="1" spans="1:21" x14ac:dyDescent="0.35">
      <c r="A1" s="13" t="s">
        <v>40</v>
      </c>
      <c r="B1" s="11" t="s">
        <v>3</v>
      </c>
      <c r="C1" s="12"/>
      <c r="D1" s="11" t="s">
        <v>38</v>
      </c>
      <c r="E1" s="12"/>
      <c r="F1" s="11" t="s">
        <v>4</v>
      </c>
      <c r="G1" s="12"/>
      <c r="H1" s="11" t="s">
        <v>9</v>
      </c>
      <c r="I1" s="12"/>
      <c r="J1" s="11" t="s">
        <v>13</v>
      </c>
      <c r="K1" s="12"/>
      <c r="L1" s="11" t="s">
        <v>20</v>
      </c>
      <c r="M1" s="12"/>
      <c r="N1" s="9" t="s">
        <v>33</v>
      </c>
      <c r="O1" s="10"/>
      <c r="P1" s="11" t="s">
        <v>34</v>
      </c>
      <c r="Q1" s="12"/>
      <c r="R1" s="9" t="s">
        <v>32</v>
      </c>
      <c r="S1" s="10"/>
      <c r="T1" s="9" t="s">
        <v>35</v>
      </c>
      <c r="U1" s="10"/>
    </row>
    <row r="2" spans="1:21" ht="15" thickBot="1" x14ac:dyDescent="0.4">
      <c r="A2" s="13"/>
      <c r="B2" s="6" t="s">
        <v>24</v>
      </c>
      <c r="C2" s="7" t="s">
        <v>37</v>
      </c>
      <c r="D2" s="6" t="s">
        <v>24</v>
      </c>
      <c r="E2" s="7" t="s">
        <v>37</v>
      </c>
      <c r="F2" s="6" t="s">
        <v>24</v>
      </c>
      <c r="G2" s="7" t="s">
        <v>37</v>
      </c>
      <c r="H2" s="6" t="s">
        <v>24</v>
      </c>
      <c r="I2" s="7" t="s">
        <v>37</v>
      </c>
      <c r="J2" s="6" t="s">
        <v>24</v>
      </c>
      <c r="K2" s="7" t="s">
        <v>37</v>
      </c>
      <c r="L2" s="6" t="s">
        <v>24</v>
      </c>
      <c r="M2" s="7" t="s">
        <v>37</v>
      </c>
      <c r="N2" s="6" t="s">
        <v>39</v>
      </c>
      <c r="O2" s="7" t="s">
        <v>37</v>
      </c>
      <c r="P2" s="6" t="s">
        <v>39</v>
      </c>
      <c r="Q2" s="7" t="s">
        <v>37</v>
      </c>
      <c r="R2" s="6" t="s">
        <v>39</v>
      </c>
      <c r="S2" s="7" t="s">
        <v>37</v>
      </c>
      <c r="T2" s="6" t="s">
        <v>39</v>
      </c>
      <c r="U2" s="7" t="s">
        <v>37</v>
      </c>
    </row>
    <row r="3" spans="1:21" x14ac:dyDescent="0.35">
      <c r="A3" s="5">
        <v>46078</v>
      </c>
      <c r="B3" s="8">
        <v>32.200000000000003</v>
      </c>
      <c r="C3" s="8">
        <v>32.352691818567102</v>
      </c>
      <c r="D3" s="8">
        <v>32.159999999999997</v>
      </c>
      <c r="E3" s="8">
        <f>238.4/7.4703</f>
        <v>31.913042314231024</v>
      </c>
      <c r="F3" s="8">
        <v>2.7</v>
      </c>
      <c r="G3" s="8">
        <v>2.71</v>
      </c>
      <c r="H3" s="8">
        <v>427.9</v>
      </c>
      <c r="I3" s="8">
        <v>423.49700000000001</v>
      </c>
      <c r="J3" s="8">
        <v>417.75</v>
      </c>
      <c r="K3" s="8">
        <v>423.3</v>
      </c>
      <c r="L3" s="8">
        <v>34.69</v>
      </c>
      <c r="M3" s="8">
        <v>34.195</v>
      </c>
      <c r="N3" s="8">
        <v>110.77</v>
      </c>
      <c r="O3" s="8">
        <v>110.77</v>
      </c>
      <c r="P3" s="8">
        <v>475.46769999999998</v>
      </c>
      <c r="Q3" s="8">
        <v>475.46769999999998</v>
      </c>
      <c r="R3" s="8">
        <v>56.211799999999997</v>
      </c>
      <c r="S3" s="8">
        <v>56.159389571852401</v>
      </c>
      <c r="T3" s="8">
        <v>93.21</v>
      </c>
      <c r="U3" s="8">
        <v>93.21</v>
      </c>
    </row>
    <row r="4" spans="1:21" x14ac:dyDescent="0.35">
      <c r="A4" s="5">
        <v>46079</v>
      </c>
      <c r="B4" s="8">
        <v>31.8</v>
      </c>
      <c r="C4" s="8">
        <v>31.8678526048284</v>
      </c>
      <c r="D4" s="8">
        <v>31.87</v>
      </c>
      <c r="E4" s="8">
        <v>31.9359674483349</v>
      </c>
      <c r="F4" s="8">
        <v>2.7</v>
      </c>
      <c r="G4" s="8">
        <v>2.7064803049555199</v>
      </c>
      <c r="H4" s="8">
        <v>433.75</v>
      </c>
      <c r="I4" s="8">
        <v>432.06200000000001</v>
      </c>
      <c r="J4" s="8">
        <v>423.94</v>
      </c>
      <c r="K4" s="8">
        <v>423.3</v>
      </c>
      <c r="L4" s="8">
        <v>34.090000000000003</v>
      </c>
      <c r="M4" s="8">
        <v>34.195</v>
      </c>
      <c r="N4" s="8">
        <v>110.77</v>
      </c>
      <c r="O4" s="8">
        <v>110.77</v>
      </c>
      <c r="P4" s="8">
        <v>475.49650000000003</v>
      </c>
      <c r="Q4" s="8">
        <v>475.49650000000003</v>
      </c>
      <c r="R4" s="8">
        <v>56.018300000000004</v>
      </c>
      <c r="S4" s="8">
        <v>56.0609911054637</v>
      </c>
      <c r="T4" s="8">
        <v>93.23</v>
      </c>
      <c r="U4" s="8">
        <v>93.23</v>
      </c>
    </row>
    <row r="5" spans="1:21" x14ac:dyDescent="0.35">
      <c r="A5" s="5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x14ac:dyDescent="0.35">
      <c r="A6" s="5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8" spans="1:21" x14ac:dyDescent="0.35">
      <c r="H8" s="8"/>
    </row>
    <row r="9" spans="1:21" x14ac:dyDescent="0.35">
      <c r="H9" s="8"/>
    </row>
  </sheetData>
  <mergeCells count="11">
    <mergeCell ref="N1:O1"/>
    <mergeCell ref="P1:Q1"/>
    <mergeCell ref="R1:S1"/>
    <mergeCell ref="T1:U1"/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p</dc:creator>
  <cp:lastModifiedBy>Joan p</cp:lastModifiedBy>
  <dcterms:created xsi:type="dcterms:W3CDTF">2026-02-26T16:53:07Z</dcterms:created>
  <dcterms:modified xsi:type="dcterms:W3CDTF">2026-02-28T17:54:01Z</dcterms:modified>
</cp:coreProperties>
</file>